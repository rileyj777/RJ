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Lists" sheetId="2" state="hidden" r:id="rId2"/>
    <sheet name="Account Scorecard" sheetId="3" state="visible" r:id="rId3"/>
    <sheet name="Buying Influences" sheetId="4" state="visible" r:id="rId4"/>
    <sheet name="Blue Shee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yyyy-mm-dd"/>
  </numFmts>
  <fonts count="15">
    <font>
      <name val="Calibri"/>
      <family val="2"/>
      <color theme="1"/>
      <sz val="11"/>
      <scheme val="minor"/>
    </font>
    <font>
      <name val="Arial"/>
      <b val="1"/>
      <color rgb="00000000"/>
      <sz val="14"/>
    </font>
    <font>
      <name val="Arial"/>
      <color rgb="00000000"/>
      <sz val="10"/>
    </font>
    <font>
      <name val="Arial"/>
      <b val="1"/>
      <color rgb="00000000"/>
      <sz val="11"/>
    </font>
    <font>
      <name val="Arial"/>
      <b val="1"/>
      <color rgb="00000000"/>
      <sz val="10"/>
    </font>
    <font>
      <name val="Arial"/>
      <b val="1"/>
      <color rgb="00000000"/>
      <sz val="12"/>
    </font>
    <font>
      <name val="Arial"/>
      <b val="1"/>
      <color rgb="00FFFFFF"/>
      <sz val="10"/>
    </font>
    <font>
      <name val="Arial"/>
      <color rgb="000000FF"/>
      <sz val="10"/>
    </font>
    <font>
      <name val="Arial"/>
      <color rgb="00000000"/>
      <sz val="9"/>
    </font>
    <font>
      <name val="Arial"/>
      <color rgb="007030A0"/>
      <sz val="9"/>
    </font>
    <font>
      <name val="Arial"/>
      <color rgb="00808080"/>
      <sz val="9"/>
    </font>
    <font>
      <name val="Arial"/>
      <b val="1"/>
      <color rgb="00C00000"/>
      <sz val="10"/>
    </font>
    <font>
      <name val="Arial"/>
      <color rgb="00C00000"/>
      <sz val="10"/>
    </font>
    <font>
      <name val="Arial"/>
      <color rgb="00C00000"/>
      <sz val="9"/>
    </font>
    <font>
      <name val="Arial"/>
      <b val="1"/>
      <color rgb="0000B050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4" fillId="0" borderId="0" pivotButton="0" quotePrefix="0" xfId="0"/>
    <xf numFmtId="0" fontId="2" fillId="0" borderId="0" pivotButton="0" quotePrefix="0" xfId="0"/>
    <xf numFmtId="0" fontId="5" fillId="0" borderId="0" pivotButton="0" quotePrefix="0" xfId="0"/>
    <xf numFmtId="0" fontId="4" fillId="0" borderId="0" applyAlignment="1" pivotButton="0" quotePrefix="0" xfId="0">
      <alignment horizontal="right"/>
    </xf>
    <xf numFmtId="0" fontId="7" fillId="3" borderId="1" pivotButton="0" quotePrefix="0" xfId="0"/>
    <xf numFmtId="0" fontId="6" fillId="2" borderId="1" applyAlignment="1" pivotButton="0" quotePrefix="0" xfId="0">
      <alignment vertical="center" wrapText="1"/>
    </xf>
    <xf numFmtId="0" fontId="8" fillId="0" borderId="0" pivotButton="0" quotePrefix="0" xfId="0"/>
    <xf numFmtId="0" fontId="9" fillId="0" borderId="0" pivotButton="0" quotePrefix="0" xfId="0"/>
    <xf numFmtId="0" fontId="7" fillId="0" borderId="1" pivotButton="0" quotePrefix="0" xfId="0"/>
    <xf numFmtId="164" fontId="4" fillId="0" borderId="0" pivotButton="0" quotePrefix="0" xfId="0"/>
    <xf numFmtId="0" fontId="10" fillId="0" borderId="0" pivotButton="0" quotePrefix="0" xfId="0"/>
    <xf numFmtId="0" fontId="6" fillId="2" borderId="1" applyAlignment="1" pivotButton="0" quotePrefix="0" xfId="0">
      <alignment wrapText="1"/>
    </xf>
    <xf numFmtId="0" fontId="0" fillId="3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165" fontId="7" fillId="3" borderId="1" pivotButton="0" quotePrefix="0" xfId="0"/>
    <xf numFmtId="165" fontId="2" fillId="0" borderId="1" pivotButton="0" quotePrefix="0" xfId="0"/>
    <xf numFmtId="0" fontId="0" fillId="0" borderId="1" pivotButton="0" quotePrefix="0" xfId="0"/>
    <xf numFmtId="0" fontId="0" fillId="3" borderId="1" pivotButton="0" quotePrefix="0" xfId="0"/>
    <xf numFmtId="0" fontId="14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6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JOHNSTON ENGINEERING - STRATEGIC SELLING WORKBOOK</t>
        </is>
      </c>
    </row>
    <row r="2">
      <c r="A2" s="2" t="inlineStr">
        <is>
          <t>Built from the 2026 Strategic Selling training (Miller/Heiman) + your monday CRM (3 accounts, 2 contacts at top targets.)</t>
        </is>
      </c>
    </row>
    <row r="3">
      <c r="A3" s="2" t="inlineStr"/>
    </row>
    <row r="4">
      <c r="A4" s="3" t="inlineStr">
        <is>
          <t>HOW THE LIVE SCORING WORKS (Account Scorecard tab)</t>
        </is>
      </c>
    </row>
    <row r="5">
      <c r="A5" s="2" t="inlineStr">
        <is>
          <t>- The 5 Ideal Customer Criteria from the training: Industry Fit, Company Size Fit, Compelling Event Present, Access to Economic Buyer, Growth/Follow-On Work Potential. Score each 0-5 (5...</t>
        </is>
      </c>
    </row>
    <row r="6">
      <c r="A6" s="2" t="inlineStr">
        <is>
          <t>- Row 2 holds the WEIGHTS (blue cells). Change a weight and every account re-scores and re-ranks instantly. Defaults favor what opens JE deals: Compelling Event Present = 2.0, Access to Economic Buyer = 1.5, rest 1.0</t>
        </is>
      </c>
    </row>
    <row r="7">
      <c r="A7" s="2" t="inlineStr">
        <is>
          <t>- Weighted Score % = SUMPRODUCT(your scores x weights) / max possible. Rank and A-D tier update automatically.</t>
        </is>
      </c>
    </row>
    <row r="8">
      <c r="A8" s="2" t="inlineStr">
        <is>
          <t>- Industry Fit is pre-scored from your CRM capability tags (blue = my suggestion, edit freely). Yellow cells are yours to fill - blanks count as 0, and the 'Criteria left' column shows how many you haven't filled.</t>
        </is>
      </c>
    </row>
    <row r="9">
      <c r="A9" s="2" t="inlineStr"/>
    </row>
    <row r="10">
      <c r="A10" s="4" t="inlineStr">
        <is>
          <t>COLOR LEGEND: blue text = editable input/suggestion - yellow fill = fill these in - black = live formula (don't overwrite)</t>
        </is>
      </c>
    </row>
    <row r="11">
      <c r="A11" s="2" t="inlineStr"/>
    </row>
    <row r="12">
      <c r="A12" s="3" t="inlineStr">
        <is>
          <t>TABS</t>
        </is>
      </c>
    </row>
    <row r="13">
      <c r="A13" s="2" t="inlineStr">
        <is>
          <t>- Account Scorecard - all 3 accounts, live weighted ICP ranking + funding angle from your pipeline board.</t>
        </is>
      </c>
    </row>
    <row r="14">
      <c r="A14" s="2" t="inlineStr">
        <is>
          <t>- Buying Influences - contact map for top accounts. Role/Degree/Mode/Rating dropdowns straight from the training. 2 obvious Economic/Technical/User buyers are pre-tagged; Coach never auto-assigned.</t>
        </is>
      </c>
    </row>
    <row r="15">
      <c r="A15" s="2" t="inlineStr">
        <is>
          <t>- Blue Sheet - one-deal Strategic Analysis Plan modeled on your JE template. Duplicate the tab per deal.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Role</t>
        </is>
      </c>
      <c r="B1" s="5" t="inlineStr">
        <is>
          <t>Degree</t>
        </is>
      </c>
      <c r="C1" s="5" t="inlineStr">
        <is>
          <t>Mode</t>
        </is>
      </c>
      <c r="D1" s="5" t="inlineStr">
        <is>
          <t>Rating</t>
        </is>
      </c>
      <c r="E1" s="5" t="inlineStr">
        <is>
          <t>Competition</t>
        </is>
      </c>
      <c r="F1" s="5" t="inlineStr">
        <is>
          <t>Funnel</t>
        </is>
      </c>
      <c r="G1" s="5" t="inlineStr">
        <is>
          <t>Timing</t>
        </is>
      </c>
      <c r="H1" s="5" t="inlineStr">
        <is>
          <t>Score05</t>
        </is>
      </c>
    </row>
    <row r="2">
      <c r="A2" s="6" t="inlineStr">
        <is>
          <t>Economic Buyer</t>
        </is>
      </c>
      <c r="B2" s="6" t="inlineStr">
        <is>
          <t>High</t>
        </is>
      </c>
      <c r="C2" s="6" t="inlineStr">
        <is>
          <t>Growth</t>
        </is>
      </c>
      <c r="D2" s="6" t="inlineStr">
        <is>
          <t>+5 Strong Positive</t>
        </is>
      </c>
      <c r="E2" s="6" t="inlineStr">
        <is>
          <t>Exclusive</t>
        </is>
      </c>
      <c r="F2" s="6" t="inlineStr">
        <is>
          <t>Universe</t>
        </is>
      </c>
      <c r="G2" s="6" t="inlineStr">
        <is>
          <t>Urgent</t>
        </is>
      </c>
      <c r="H2" s="6" t="inlineStr">
        <is>
          <t>0</t>
        </is>
      </c>
    </row>
    <row r="3">
      <c r="A3" s="6" t="inlineStr">
        <is>
          <t>User Buyer</t>
        </is>
      </c>
      <c r="B3" s="6" t="inlineStr">
        <is>
          <t>Medium</t>
        </is>
      </c>
      <c r="C3" s="6" t="inlineStr">
        <is>
          <t>Trouble</t>
        </is>
      </c>
      <c r="D3" s="6" t="inlineStr">
        <is>
          <t>+3 Mild Positive</t>
        </is>
      </c>
      <c r="E3" s="6" t="inlineStr">
        <is>
          <t>Dominant</t>
        </is>
      </c>
      <c r="F3" s="6" t="inlineStr">
        <is>
          <t>Above</t>
        </is>
      </c>
      <c r="G3" s="6" t="inlineStr">
        <is>
          <t>Active</t>
        </is>
      </c>
      <c r="H3" s="6" t="inlineStr">
        <is>
          <t>1</t>
        </is>
      </c>
    </row>
    <row r="4">
      <c r="A4" s="6" t="inlineStr">
        <is>
          <t>Technical Buyer</t>
        </is>
      </c>
      <c r="B4" s="6" t="inlineStr">
        <is>
          <t>Low</t>
        </is>
      </c>
      <c r="C4" s="6" t="inlineStr">
        <is>
          <t>Even Keel</t>
        </is>
      </c>
      <c r="D4" s="6" t="inlineStr">
        <is>
          <t>0 Neutral</t>
        </is>
      </c>
      <c r="E4" s="6" t="inlineStr">
        <is>
          <t>Shared</t>
        </is>
      </c>
      <c r="F4" s="6" t="inlineStr">
        <is>
          <t>In</t>
        </is>
      </c>
      <c r="G4" s="6" t="inlineStr">
        <is>
          <t>Work It In</t>
        </is>
      </c>
      <c r="H4" s="6" t="inlineStr">
        <is>
          <t>2</t>
        </is>
      </c>
    </row>
    <row r="5">
      <c r="A5" s="6" t="inlineStr">
        <is>
          <t>Coach</t>
        </is>
      </c>
      <c r="C5" s="6" t="inlineStr">
        <is>
          <t>Overconfident</t>
        </is>
      </c>
      <c r="D5" s="6" t="inlineStr">
        <is>
          <t>-3 Mild Negative</t>
        </is>
      </c>
      <c r="E5" s="6" t="inlineStr">
        <is>
          <t>Zero</t>
        </is>
      </c>
      <c r="F5" s="6" t="inlineStr">
        <is>
          <t>Best Few</t>
        </is>
      </c>
      <c r="G5" s="6" t="inlineStr">
        <is>
          <t>Later</t>
        </is>
      </c>
      <c r="H5" s="6" t="inlineStr">
        <is>
          <t>3</t>
        </is>
      </c>
    </row>
    <row r="6">
      <c r="D6" s="6" t="inlineStr">
        <is>
          <t>-5 Strong Negative</t>
        </is>
      </c>
      <c r="F6" s="6" t="inlineStr">
        <is>
          <t>Won</t>
        </is>
      </c>
      <c r="H6" s="6" t="inlineStr">
        <is>
          <t>4</t>
        </is>
      </c>
    </row>
    <row r="7">
      <c r="F7" s="6" t="inlineStr">
        <is>
          <t>Lost</t>
        </is>
      </c>
      <c r="H7" s="6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B050"/>
    <outlinePr summaryBelow="1" summaryRight="1"/>
    <pageSetUpPr/>
  </sheetPr>
  <dimension ref="A1:O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9" customWidth="1" min="2" max="2"/>
    <col width="17" customWidth="1" min="3" max="3"/>
    <col width="38" customWidth="1" min="4" max="4"/>
    <col width="22" customWidth="1" min="5" max="5"/>
    <col width="4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6" customWidth="1" min="13" max="13"/>
    <col width="6" customWidth="1" min="14" max="14"/>
    <col width="10" customWidth="1" min="15" max="15"/>
  </cols>
  <sheetData>
    <row r="1">
      <c r="A1" s="7" t="inlineStr">
        <is>
          <t>ACCOUNT SCORECARD - live weighted ICP ranking (edit blue/yellow; formulas do the rest)</t>
        </is>
      </c>
    </row>
    <row r="2">
      <c r="A2" s="8" t="inlineStr">
        <is>
          <t>WEIGHTS -&gt;</t>
        </is>
      </c>
      <c r="G2" s="9" t="n">
        <v>1</v>
      </c>
      <c r="H2" s="9" t="n">
        <v>1</v>
      </c>
      <c r="I2" s="9" t="n">
        <v>2</v>
      </c>
      <c r="J2" s="9" t="n">
        <v>1.5</v>
      </c>
      <c r="K2" s="9" t="n">
        <v>1</v>
      </c>
    </row>
    <row r="3">
      <c r="A3" s="10" t="inlineStr">
        <is>
          <t>Account</t>
        </is>
      </c>
      <c r="B3" s="10" t="inlineStr">
        <is>
          <t>Status</t>
        </is>
      </c>
      <c r="C3" s="10" t="inlineStr">
        <is>
          <t>Industry</t>
        </is>
      </c>
      <c r="D3" s="10" t="inlineStr">
        <is>
          <t>Capability tags</t>
        </is>
      </c>
      <c r="E3" s="10" t="inlineStr">
        <is>
          <t>Location</t>
        </is>
      </c>
      <c r="F3" s="10" t="inlineStr">
        <is>
          <t>Funding angle (from pipeline board)</t>
        </is>
      </c>
      <c r="G3" s="10" t="inlineStr">
        <is>
          <t>Industry Fit</t>
        </is>
      </c>
      <c r="H3" s="10" t="inlineStr">
        <is>
          <t>Company Size Fit</t>
        </is>
      </c>
      <c r="I3" s="10" t="inlineStr">
        <is>
          <t>Compelling Event Present</t>
        </is>
      </c>
      <c r="J3" s="10" t="inlineStr">
        <is>
          <t>Access to Economic Buyer</t>
        </is>
      </c>
      <c r="K3" s="10" t="inlineStr">
        <is>
          <t>Growth/Follow-On Potential</t>
        </is>
      </c>
      <c r="L3" s="10" t="inlineStr">
        <is>
          <t>Weighted Score %</t>
        </is>
      </c>
      <c r="M3" s="10" t="inlineStr">
        <is>
          <t>Rank</t>
        </is>
      </c>
      <c r="N3" s="10" t="inlineStr">
        <is>
          <t>Tier</t>
        </is>
      </c>
      <c r="O3" s="10" t="inlineStr">
        <is>
          <t>Criteria left</t>
        </is>
      </c>
    </row>
    <row r="4">
      <c r="A4" s="5" t="inlineStr">
        <is>
          <t>Tesla Motors</t>
        </is>
      </c>
      <c r="B4" s="6" t="inlineStr">
        <is>
          <t>Lead</t>
        </is>
      </c>
      <c r="C4" s="6" t="inlineStr">
        <is>
          <t>Automotive</t>
        </is>
      </c>
      <c r="D4" s="11" t="inlineStr">
        <is>
          <t>Battery</t>
        </is>
      </c>
      <c r="E4" s="11" t="inlineStr">
        <is>
          <t>Palo Alto, CA</t>
        </is>
      </c>
      <c r="F4" s="12" t="inlineStr"/>
      <c r="G4" s="13" t="n">
        <v>4</v>
      </c>
      <c r="H4" s="9" t="n"/>
      <c r="I4" s="9" t="n"/>
      <c r="J4" s="9" t="n"/>
      <c r="K4" s="9" t="n"/>
      <c r="L4" s="14">
        <f>IFERROR(SUMPRODUCT(G4:K4,$G$2:$K$2)/(5*SUM($G$2:$K$2)),0)</f>
        <v/>
      </c>
      <c r="M4" s="6">
        <f>IF(L4=0,"",RANK(L4,$L$4:$L$6))</f>
        <v/>
      </c>
      <c r="N4" s="5">
        <f>IF(L4&gt;=0.75,"A",IF(L4&gt;=0.55,"B",IF(L4&gt;=0.35,"C",IF(L4&gt;0,"D","-"))))</f>
        <v/>
      </c>
      <c r="O4" s="15">
        <f>COUNTBLANK(G4:K4)</f>
        <v/>
      </c>
    </row>
    <row r="5">
      <c r="A5" s="5" t="inlineStr">
        <is>
          <t>Cool Amps Inc</t>
        </is>
      </c>
      <c r="B5" s="6" t="inlineStr">
        <is>
          <t>Prospect</t>
        </is>
      </c>
      <c r="C5" s="6" t="inlineStr">
        <is>
          <t>Energy</t>
        </is>
      </c>
      <c r="D5" s="11" t="inlineStr">
        <is>
          <t>Battery, Recycling</t>
        </is>
      </c>
      <c r="E5" s="11" t="inlineStr">
        <is>
          <t>Golden, CO</t>
        </is>
      </c>
      <c r="F5" s="12" t="inlineStr"/>
      <c r="G5" s="13" t="n">
        <v>5</v>
      </c>
      <c r="H5" s="9" t="n"/>
      <c r="I5" s="9" t="n"/>
      <c r="J5" s="9" t="n"/>
      <c r="K5" s="9" t="n"/>
      <c r="L5" s="14">
        <f>IFERROR(SUMPRODUCT(G5:K5,$G$2:$K$2)/(5*SUM($G$2:$K$2)),0)</f>
        <v/>
      </c>
      <c r="M5" s="6">
        <f>IF(L5=0,"",RANK(L5,$L$4:$L$6))</f>
        <v/>
      </c>
      <c r="N5" s="5">
        <f>IF(L5&gt;=0.75,"A",IF(L5&gt;=0.55,"B",IF(L5&gt;=0.35,"C",IF(L5&gt;0,"D","-"))))</f>
        <v/>
      </c>
      <c r="O5" s="15">
        <f>COUNTBLANK(G5:K5)</f>
        <v/>
      </c>
    </row>
    <row r="6">
      <c r="A6" s="5" t="inlineStr">
        <is>
          <t>Argonne Labs</t>
        </is>
      </c>
      <c r="B6" s="6" t="inlineStr">
        <is>
          <t>Suspect</t>
        </is>
      </c>
      <c r="C6" s="6" t="inlineStr">
        <is>
          <t>Research</t>
        </is>
      </c>
      <c r="D6" s="11" t="inlineStr">
        <is>
          <t>Materials</t>
        </is>
      </c>
      <c r="E6" s="11" t="inlineStr">
        <is>
          <t>Lemont, IL</t>
        </is>
      </c>
      <c r="F6" s="12" t="inlineStr"/>
      <c r="G6" s="13" t="n">
        <v>1</v>
      </c>
      <c r="H6" s="9" t="n"/>
      <c r="I6" s="9" t="n"/>
      <c r="J6" s="9" t="n"/>
      <c r="K6" s="9" t="n"/>
      <c r="L6" s="14">
        <f>IFERROR(SUMPRODUCT(G6:K6,$G$2:$K$2)/(5*SUM($G$2:$K$2)),0)</f>
        <v/>
      </c>
      <c r="M6" s="6">
        <f>IF(L6=0,"",RANK(L6,$L$4:$L$6))</f>
        <v/>
      </c>
      <c r="N6" s="5">
        <f>IF(L6&gt;=0.75,"A",IF(L6&gt;=0.55,"B",IF(L6&gt;=0.35,"C",IF(L6&gt;0,"D","-"))))</f>
        <v/>
      </c>
      <c r="O6" s="15">
        <f>COUNTBLANK(G6:K6)</f>
        <v/>
      </c>
    </row>
  </sheetData>
  <dataValidations count="1">
    <dataValidation sqref="G4:K6" showDropDown="0" showInputMessage="0" showErrorMessage="0" allowBlank="1" type="list">
      <formula1>=Lists!$H$2:$H$7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C000"/>
    <outlinePr summaryBelow="1" summaryRight="1"/>
    <pageSetUpPr/>
  </sheetPr>
  <dimension ref="A1:K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34" customWidth="1" min="3" max="3"/>
    <col width="17" customWidth="1" min="4" max="4"/>
    <col width="30" customWidth="1" min="5" max="5"/>
    <col width="15" customWidth="1" min="6" max="6"/>
    <col width="12" customWidth="1" min="7" max="7"/>
    <col width="13" customWidth="1" min="8" max="8"/>
    <col width="16" customWidth="1" min="9" max="9"/>
    <col width="42" customWidth="1" min="10" max="10"/>
    <col width="32" customWidth="1" min="11" max="11"/>
  </cols>
  <sheetData>
    <row r="1">
      <c r="A1" s="7" t="inlineStr">
        <is>
          <t>BUYING INFLUENCES - contact map (Roles: E=final approval - U=lives with the work - T=screens on specs - C=coach, develop don't assign)</t>
        </is>
      </c>
    </row>
    <row r="2">
      <c r="A2" s="16" t="inlineStr">
        <is>
          <t>Account</t>
        </is>
      </c>
      <c r="B2" s="16" t="inlineStr">
        <is>
          <t>Contact</t>
        </is>
      </c>
      <c r="C2" s="16" t="inlineStr">
        <is>
          <t>Title</t>
        </is>
      </c>
      <c r="D2" s="16" t="inlineStr">
        <is>
          <t>Seniority</t>
        </is>
      </c>
      <c r="E2" s="16" t="inlineStr">
        <is>
          <t>Email</t>
        </is>
      </c>
      <c r="F2" s="16" t="inlineStr">
        <is>
          <t>Role (E/U/T/C)</t>
        </is>
      </c>
      <c r="G2" s="16" t="inlineStr">
        <is>
          <t>Degree (H/M/L)</t>
        </is>
      </c>
      <c r="H2" s="16" t="inlineStr">
        <is>
          <t>Mode</t>
        </is>
      </c>
      <c r="I2" s="16" t="inlineStr">
        <is>
          <t>Rating</t>
        </is>
      </c>
      <c r="J2" s="16" t="inlineStr">
        <is>
          <t>Win-Results statement (their personal win)</t>
        </is>
      </c>
      <c r="K2" s="16" t="inlineStr">
        <is>
          <t>Base covered? evidence / notes</t>
        </is>
      </c>
    </row>
    <row r="3">
      <c r="A3" s="11" t="inlineStr">
        <is>
          <t>Cool Amps Inc</t>
        </is>
      </c>
      <c r="B3" s="11" t="inlineStr">
        <is>
          <t>John Smith</t>
        </is>
      </c>
      <c r="C3" s="11" t="inlineStr">
        <is>
          <t>CEO</t>
        </is>
      </c>
      <c r="D3" s="11" t="inlineStr">
        <is>
          <t>C-Suite</t>
        </is>
      </c>
      <c r="E3" s="11" t="inlineStr">
        <is>
          <t>john@coolamps.tech</t>
        </is>
      </c>
      <c r="F3" s="13" t="inlineStr">
        <is>
          <t>Economic Buyer</t>
        </is>
      </c>
      <c r="G3" s="9" t="n"/>
      <c r="H3" s="9" t="n"/>
      <c r="I3" s="9" t="n"/>
      <c r="J3" s="17" t="n"/>
    </row>
    <row r="4">
      <c r="A4" s="11" t="inlineStr">
        <is>
          <t>Tesla Motors</t>
        </is>
      </c>
      <c r="B4" s="11" t="inlineStr">
        <is>
          <t>Jane Doe</t>
        </is>
      </c>
      <c r="C4" s="11" t="inlineStr">
        <is>
          <t>VP Eng</t>
        </is>
      </c>
      <c r="D4" s="11" t="inlineStr">
        <is>
          <t>VP</t>
        </is>
      </c>
      <c r="E4" s="11" t="inlineStr">
        <is>
          <t>jane@tesla.com</t>
        </is>
      </c>
      <c r="F4" s="13" t="inlineStr">
        <is>
          <t>Technical Buyer</t>
        </is>
      </c>
      <c r="G4" s="9" t="n"/>
      <c r="H4" s="9" t="n"/>
      <c r="I4" s="9" t="n"/>
      <c r="J4" s="17" t="n"/>
    </row>
    <row r="7">
      <c r="A7" s="18" t="inlineStr">
        <is>
          <t>RED FLAGS - accounts with contacts but NO Economic Buyer (no known line to the money):</t>
        </is>
      </c>
    </row>
    <row r="8">
      <c r="A8" s="19" t="inlineStr">
        <is>
          <t>Tesla Motors</t>
        </is>
      </c>
      <c r="B8" s="20" t="inlineStr">
        <is>
          <t>Has contacts, none tagged Economic Buyer - find the approver</t>
        </is>
      </c>
    </row>
  </sheetData>
  <dataValidations count="4">
    <dataValidation sqref="F3:F4" showDropDown="0" showInputMessage="0" showErrorMessage="0" allowBlank="1" type="list">
      <formula1>=Lists!$A$2:$A$5</formula1>
    </dataValidation>
    <dataValidation sqref="G3:G4" showDropDown="0" showInputMessage="0" showErrorMessage="0" allowBlank="1" type="list">
      <formula1>=Lists!$B$2:$B$4</formula1>
    </dataValidation>
    <dataValidation sqref="H3:H4" showDropDown="0" showInputMessage="0" showErrorMessage="0" allowBlank="1" type="list">
      <formula1>=Lists!$C$2:$C$5</formula1>
    </dataValidation>
    <dataValidation sqref="I3:I4" showDropDown="0" showInputMessage="0" showErrorMessage="0" allowBlank="1" type="list">
      <formula1>=Lists!$D$2:$D$6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30A0"/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12" customWidth="1" min="4" max="4"/>
    <col width="16" customWidth="1" min="5" max="5"/>
    <col width="26" customWidth="1" min="6" max="6"/>
    <col width="26" customWidth="1" min="7" max="7"/>
    <col width="30" customWidth="1" min="8" max="8"/>
    <col width="4" customWidth="1" min="9" max="9"/>
    <col width="8" customWidth="1" min="10" max="10"/>
  </cols>
  <sheetData>
    <row r="1">
      <c r="A1" s="7" t="inlineStr">
        <is>
          <t>STRATEGIC ANALYSIS PLAN (Blue Sheet) - Johnston Engineering | Confidential &amp; Proprietary</t>
        </is>
      </c>
    </row>
    <row r="2">
      <c r="A2" s="11" t="inlineStr">
        <is>
          <t>Duplicate this tab per sales objective. Objective format: TO SELL {service} to {company/area} FOR {revenue} BY {close date}.</t>
        </is>
      </c>
    </row>
    <row r="4">
      <c r="A4" s="5" t="inlineStr">
        <is>
          <t>BDR / Owner</t>
        </is>
      </c>
      <c r="B4" s="9" t="n"/>
      <c r="D4" s="5" t="inlineStr">
        <is>
          <t>My Position VS Competition</t>
        </is>
      </c>
      <c r="F4" s="9" t="n"/>
      <c r="H4" s="5" t="inlineStr">
        <is>
          <t>IDEAL CUSTOMER CRITERIA (5 = best aligned, 0 = worst)</t>
        </is>
      </c>
    </row>
    <row r="5">
      <c r="A5" s="5" t="inlineStr">
        <is>
          <t>Customer Name</t>
        </is>
      </c>
      <c r="B5" s="9" t="n"/>
      <c r="D5" s="5" t="inlineStr">
        <is>
          <t>Place in Sales Funnel</t>
        </is>
      </c>
      <c r="F5" s="9" t="n"/>
      <c r="H5" s="6" t="inlineStr">
        <is>
          <t>Industry Fit</t>
        </is>
      </c>
      <c r="J5" s="9" t="n"/>
    </row>
    <row r="6">
      <c r="A6" s="5" t="inlineStr">
        <is>
          <t>Sales Objective</t>
        </is>
      </c>
      <c r="B6" s="9" t="n"/>
      <c r="D6" s="5" t="inlineStr">
        <is>
          <t>Timing for Priorities</t>
        </is>
      </c>
      <c r="F6" s="9" t="n"/>
      <c r="H6" s="6" t="inlineStr">
        <is>
          <t>Company Size Fit</t>
        </is>
      </c>
      <c r="J6" s="9" t="n"/>
    </row>
    <row r="7">
      <c r="A7" s="5" t="inlineStr">
        <is>
          <t>Potential Revenue</t>
        </is>
      </c>
      <c r="B7" s="9" t="n"/>
      <c r="D7" s="11" t="inlineStr">
        <is>
          <t>"How do I feel right now about closing this?" (-5 PANIC ... +5 EUPHORIA)</t>
        </is>
      </c>
      <c r="F7" s="9" t="n"/>
      <c r="H7" s="6" t="inlineStr">
        <is>
          <t>Compelling Event Present</t>
        </is>
      </c>
      <c r="J7" s="9" t="n"/>
    </row>
    <row r="8">
      <c r="A8" s="5" t="inlineStr">
        <is>
          <t>Close Date</t>
        </is>
      </c>
      <c r="B8" s="21" t="n"/>
      <c r="H8" s="6" t="inlineStr">
        <is>
          <t>Access to Economic Buyer</t>
        </is>
      </c>
      <c r="J8" s="9" t="n"/>
    </row>
    <row r="9">
      <c r="A9" s="5" t="inlineStr">
        <is>
          <t>Initial Start Date</t>
        </is>
      </c>
      <c r="B9" s="21" t="n"/>
      <c r="H9" s="6" t="inlineStr">
        <is>
          <t>Growth/Follow-On Potential</t>
        </is>
      </c>
      <c r="J9" s="9" t="n"/>
    </row>
    <row r="10">
      <c r="A10" s="5" t="inlineStr">
        <is>
          <t>Last Updated</t>
        </is>
      </c>
      <c r="B10" s="22">
        <f>TODAY()</f>
        <v/>
      </c>
      <c r="H10" s="5" t="inlineStr">
        <is>
          <t>TOTAL (max 25)</t>
        </is>
      </c>
      <c r="J10" s="5">
        <f>SUM(J5:J9)</f>
        <v/>
      </c>
    </row>
    <row r="13">
      <c r="A13" s="16" t="inlineStr">
        <is>
          <t>Buying Influence (Name, Title, Location)</t>
        </is>
      </c>
      <c r="B13" s="16" t="inlineStr">
        <is>
          <t>Role</t>
        </is>
      </c>
      <c r="C13" s="16" t="inlineStr">
        <is>
          <t>Degree</t>
        </is>
      </c>
      <c r="D13" s="16" t="inlineStr">
        <is>
          <t>Mode</t>
        </is>
      </c>
      <c r="E13" s="16" t="inlineStr">
        <is>
          <t>Rating</t>
        </is>
      </c>
      <c r="F13" s="16" t="inlineStr">
        <is>
          <t>Key Win-Result (personal win statement)</t>
        </is>
      </c>
      <c r="G13" s="16" t="inlineStr">
        <is>
          <t>How well is base covered? Evidence:</t>
        </is>
      </c>
    </row>
    <row r="14">
      <c r="A14" s="23" t="n"/>
      <c r="B14" s="24" t="n"/>
      <c r="C14" s="24" t="n"/>
      <c r="D14" s="24" t="n"/>
      <c r="E14" s="24" t="n"/>
      <c r="F14" s="23" t="n"/>
      <c r="G14" s="23" t="n"/>
    </row>
    <row r="15">
      <c r="A15" s="23" t="n"/>
      <c r="B15" s="24" t="n"/>
      <c r="C15" s="24" t="n"/>
      <c r="D15" s="24" t="n"/>
      <c r="E15" s="24" t="n"/>
      <c r="F15" s="23" t="n"/>
      <c r="G15" s="23" t="n"/>
    </row>
    <row r="16">
      <c r="A16" s="23" t="n"/>
      <c r="B16" s="24" t="n"/>
      <c r="C16" s="24" t="n"/>
      <c r="D16" s="24" t="n"/>
      <c r="E16" s="24" t="n"/>
      <c r="F16" s="23" t="n"/>
      <c r="G16" s="23" t="n"/>
    </row>
    <row r="17">
      <c r="A17" s="23" t="n"/>
      <c r="B17" s="24" t="n"/>
      <c r="C17" s="24" t="n"/>
      <c r="D17" s="24" t="n"/>
      <c r="E17" s="24" t="n"/>
      <c r="F17" s="23" t="n"/>
      <c r="G17" s="23" t="n"/>
    </row>
    <row r="18">
      <c r="A18" s="23" t="n"/>
      <c r="B18" s="24" t="n"/>
      <c r="C18" s="24" t="n"/>
      <c r="D18" s="24" t="n"/>
      <c r="E18" s="24" t="n"/>
      <c r="F18" s="23" t="n"/>
      <c r="G18" s="23" t="n"/>
    </row>
    <row r="19">
      <c r="A19" s="23" t="n"/>
      <c r="B19" s="24" t="n"/>
      <c r="C19" s="24" t="n"/>
      <c r="D19" s="24" t="n"/>
      <c r="E19" s="24" t="n"/>
      <c r="F19" s="23" t="n"/>
      <c r="G19" s="23" t="n"/>
    </row>
    <row r="20">
      <c r="A20" s="23" t="n"/>
      <c r="B20" s="24" t="n"/>
      <c r="C20" s="24" t="n"/>
      <c r="D20" s="24" t="n"/>
      <c r="E20" s="24" t="n"/>
      <c r="F20" s="23" t="n"/>
      <c r="G20" s="23" t="n"/>
    </row>
    <row r="21">
      <c r="A21" s="23" t="n"/>
      <c r="B21" s="24" t="n"/>
      <c r="C21" s="24" t="n"/>
      <c r="D21" s="24" t="n"/>
      <c r="E21" s="24" t="n"/>
      <c r="F21" s="23" t="n"/>
      <c r="G21" s="23" t="n"/>
    </row>
    <row r="22">
      <c r="A22" s="23" t="n"/>
      <c r="B22" s="24" t="n"/>
      <c r="C22" s="24" t="n"/>
      <c r="D22" s="24" t="n"/>
      <c r="E22" s="24" t="n"/>
      <c r="F22" s="23" t="n"/>
      <c r="G22" s="23" t="n"/>
    </row>
    <row r="23">
      <c r="A23" s="23" t="n"/>
      <c r="B23" s="24" t="n"/>
      <c r="C23" s="24" t="n"/>
      <c r="D23" s="24" t="n"/>
      <c r="E23" s="24" t="n"/>
      <c r="F23" s="23" t="n"/>
      <c r="G23" s="23" t="n"/>
    </row>
    <row r="25">
      <c r="A25" s="25" t="inlineStr">
        <is>
          <t>STRENGTHS (differentiation; relevant to objective; diminish price)</t>
        </is>
      </c>
      <c r="F25" s="5" t="inlineStr">
        <is>
          <t>BEST ACTION PLAN</t>
        </is>
      </c>
    </row>
    <row r="26">
      <c r="A26" s="23" t="n"/>
      <c r="B26" s="26" t="n"/>
      <c r="C26" s="26" t="n"/>
      <c r="D26" s="26" t="n"/>
      <c r="E26" s="27" t="n"/>
      <c r="F26" s="28" t="inlineStr">
        <is>
          <t>What</t>
        </is>
      </c>
      <c r="G26" s="28" t="inlineStr">
        <is>
          <t>Who</t>
        </is>
      </c>
      <c r="H26" s="28" t="inlineStr">
        <is>
          <t>When</t>
        </is>
      </c>
    </row>
    <row r="27">
      <c r="A27" s="23" t="n"/>
      <c r="B27" s="26" t="n"/>
      <c r="C27" s="26" t="n"/>
      <c r="D27" s="26" t="n"/>
      <c r="E27" s="27" t="n"/>
      <c r="F27" s="23" t="n"/>
      <c r="G27" s="23" t="n"/>
      <c r="H27" s="23" t="n"/>
    </row>
    <row r="28">
      <c r="A28" s="23" t="n"/>
      <c r="B28" s="26" t="n"/>
      <c r="C28" s="26" t="n"/>
      <c r="D28" s="26" t="n"/>
      <c r="E28" s="27" t="n"/>
      <c r="F28" s="23" t="n"/>
      <c r="G28" s="23" t="n"/>
      <c r="H28" s="23" t="n"/>
    </row>
    <row r="29">
      <c r="A29" s="23" t="n"/>
      <c r="B29" s="26" t="n"/>
      <c r="C29" s="26" t="n"/>
      <c r="D29" s="26" t="n"/>
      <c r="E29" s="27" t="n"/>
      <c r="F29" s="23" t="n"/>
      <c r="G29" s="23" t="n"/>
      <c r="H29" s="23" t="n"/>
    </row>
    <row r="30">
      <c r="F30" s="23" t="n"/>
      <c r="G30" s="23" t="n"/>
      <c r="H30" s="23" t="n"/>
    </row>
    <row r="31">
      <c r="A31" s="18" t="inlineStr">
        <is>
          <t>RED FLAGS (missing info - untested assumption - uncovered base - new player - reorg)</t>
        </is>
      </c>
      <c r="F31" s="23" t="n"/>
      <c r="G31" s="23" t="n"/>
      <c r="H31" s="23" t="n"/>
    </row>
    <row r="32">
      <c r="A32" s="23" t="n"/>
      <c r="B32" s="26" t="n"/>
      <c r="C32" s="26" t="n"/>
      <c r="D32" s="26" t="n"/>
      <c r="E32" s="27" t="n"/>
    </row>
    <row r="33">
      <c r="A33" s="23" t="n"/>
      <c r="B33" s="26" t="n"/>
      <c r="C33" s="26" t="n"/>
      <c r="D33" s="26" t="n"/>
      <c r="E33" s="27" t="n"/>
      <c r="F33" s="5" t="inlineStr">
        <is>
          <t>INFORMATION NEEDED / FROM WHOM</t>
        </is>
      </c>
    </row>
    <row r="34">
      <c r="A34" s="23" t="n"/>
      <c r="B34" s="26" t="n"/>
      <c r="C34" s="26" t="n"/>
      <c r="D34" s="26" t="n"/>
      <c r="E34" s="27" t="n"/>
      <c r="F34" s="23" t="n"/>
      <c r="G34" s="23" t="n"/>
    </row>
    <row r="35">
      <c r="A35" s="23" t="n"/>
      <c r="B35" s="26" t="n"/>
      <c r="C35" s="26" t="n"/>
      <c r="D35" s="26" t="n"/>
      <c r="E35" s="27" t="n"/>
      <c r="F35" s="23" t="n"/>
      <c r="G35" s="23" t="n"/>
    </row>
    <row r="36">
      <c r="F36" s="23" t="n"/>
      <c r="G36" s="23" t="n"/>
    </row>
  </sheetData>
  <mergeCells count="8">
    <mergeCell ref="A34:E34"/>
    <mergeCell ref="A29:E29"/>
    <mergeCell ref="A35:E35"/>
    <mergeCell ref="A26:E26"/>
    <mergeCell ref="A28:E28"/>
    <mergeCell ref="A33:E33"/>
    <mergeCell ref="A32:E32"/>
    <mergeCell ref="A27:E27"/>
  </mergeCells>
  <dataValidations count="12">
    <dataValidation sqref="F4" showDropDown="0" showInputMessage="0" showErrorMessage="0" allowBlank="1" type="list">
      <formula1>=Lists!$E$2:$E$5</formula1>
    </dataValidation>
    <dataValidation sqref="F5" showDropDown="0" showInputMessage="0" showErrorMessage="0" allowBlank="1" type="list">
      <formula1>=Lists!$F$2:$F$7</formula1>
    </dataValidation>
    <dataValidation sqref="F6" showDropDown="0" showInputMessage="0" showErrorMessage="0" allowBlank="1" type="list">
      <formula1>=Lists!$G$2:$G$5</formula1>
    </dataValidation>
    <dataValidation sqref="J5" showDropDown="0" showInputMessage="0" showErrorMessage="0" allowBlank="1" type="list">
      <formula1>=Lists!$H$2:$H$7</formula1>
    </dataValidation>
    <dataValidation sqref="J6" showDropDown="0" showInputMessage="0" showErrorMessage="0" allowBlank="1" type="list">
      <formula1>=Lists!$H$2:$H$7</formula1>
    </dataValidation>
    <dataValidation sqref="J7" showDropDown="0" showInputMessage="0" showErrorMessage="0" allowBlank="1" type="list">
      <formula1>=Lists!$H$2:$H$7</formula1>
    </dataValidation>
    <dataValidation sqref="J8" showDropDown="0" showInputMessage="0" showErrorMessage="0" allowBlank="1" type="list">
      <formula1>=Lists!$H$2:$H$7</formula1>
    </dataValidation>
    <dataValidation sqref="J9" showDropDown="0" showInputMessage="0" showErrorMessage="0" allowBlank="1" type="list">
      <formula1>=Lists!$H$2:$H$7</formula1>
    </dataValidation>
    <dataValidation sqref="B14:B23" showDropDown="0" showInputMessage="0" showErrorMessage="0" allowBlank="1" type="list">
      <formula1>=Lists!$A$2:$A$5</formula1>
    </dataValidation>
    <dataValidation sqref="C14:C23" showDropDown="0" showInputMessage="0" showErrorMessage="0" allowBlank="1" type="list">
      <formula1>=Lists!$B$2:$B$4</formula1>
    </dataValidation>
    <dataValidation sqref="D14:D23" showDropDown="0" showInputMessage="0" showErrorMessage="0" allowBlank="1" type="list">
      <formula1>=Lists!$C$2:$C$5</formula1>
    </dataValidation>
    <dataValidation sqref="E14:E23" showDropDown="0" showInputMessage="0" showErrorMessage="0" allowBlank="1" type="list">
      <formula1>=Lists!$D$2:$D$6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2026-08-04T15:37:41Z</dcterms:created>
  <dcterms:modified xsi:type="dcterms:W3CDTF">2026-08-04T15:37:41Z</dcterms:modified>
</cp:coreProperties>
</file>